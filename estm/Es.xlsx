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git\trabalho\estm\"/>
    </mc:Choice>
  </mc:AlternateContent>
  <xr:revisionPtr revIDLastSave="0" documentId="8_{A044BA44-3C80-41E7-AB81-475EAA8A9AA7}" xr6:coauthVersionLast="47" xr6:coauthVersionMax="47" xr10:uidLastSave="{00000000-0000-0000-0000-000000000000}"/>
  <bookViews>
    <workbookView xWindow="-28920" yWindow="-1155" windowWidth="29040" windowHeight="15840" activeTab="1" xr2:uid="{18667A4F-09A4-404A-8AF9-CC6CB5834135}"/>
  </bookViews>
  <sheets>
    <sheet name="Geral" sheetId="1" r:id="rId1"/>
    <sheet name="ESTM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6" i="1"/>
  <c r="C9" i="2"/>
  <c r="B7" i="1" s="1"/>
  <c r="B2" i="1"/>
</calcChain>
</file>

<file path=xl/sharedStrings.xml><?xml version="1.0" encoding="utf-8"?>
<sst xmlns="http://schemas.openxmlformats.org/spreadsheetml/2006/main" count="49" uniqueCount="48">
  <si>
    <t>Release de Bandeiras</t>
  </si>
  <si>
    <t>Release de Bandeira Q1 e Q2/25</t>
  </si>
  <si>
    <t>Pré Autorização - Decurso de prazo</t>
  </si>
  <si>
    <t>Modernização Master</t>
  </si>
  <si>
    <t>Modernização Transações Administrativas</t>
  </si>
  <si>
    <t>Demanda Regulatória</t>
  </si>
  <si>
    <t>Finalizar Desenvolvimento</t>
  </si>
  <si>
    <t>Carga</t>
  </si>
  <si>
    <t>Dados</t>
  </si>
  <si>
    <t>Suporte TO2</t>
  </si>
  <si>
    <t>Direciona Tech</t>
  </si>
  <si>
    <t>Datadog?</t>
  </si>
  <si>
    <t>Modernização Conciliação - Serviço Conciliação Contábil De Cartão Débito</t>
  </si>
  <si>
    <t>WA PAY Visa - Desativação</t>
  </si>
  <si>
    <t>Chargeback Single Message</t>
  </si>
  <si>
    <t>Camada Zero</t>
  </si>
  <si>
    <t>Conexão direta com a Master</t>
  </si>
  <si>
    <t>Falcon</t>
  </si>
  <si>
    <t>Modernização Visa</t>
  </si>
  <si>
    <t>Projeto multiconexão</t>
  </si>
  <si>
    <t>Contábil</t>
  </si>
  <si>
    <t>Levar dados para Mesh</t>
  </si>
  <si>
    <t>Pré-Autorização</t>
  </si>
  <si>
    <t>Débito Técnico</t>
  </si>
  <si>
    <t>Qtd Horas</t>
  </si>
  <si>
    <t>Demanda</t>
  </si>
  <si>
    <t>Observação</t>
  </si>
  <si>
    <t>Vai depender do andamento da sprint 4
A principio vou estimar 1 sprint</t>
  </si>
  <si>
    <t xml:space="preserve">DMC </t>
  </si>
  <si>
    <t>Chargeback (ESTM1)</t>
  </si>
  <si>
    <t>Estimativa Chargeback DMC</t>
  </si>
  <si>
    <t>Task</t>
  </si>
  <si>
    <t>Horas</t>
  </si>
  <si>
    <t>Refinamentos</t>
  </si>
  <si>
    <t>Criar rotina para transmitir arquivo TG52 para o bucket S3</t>
  </si>
  <si>
    <t>Criar rotina para formatar arquivo TG52 no padrão Lambda</t>
  </si>
  <si>
    <t>Criar lambda para consistir arquivo TG52</t>
  </si>
  <si>
    <t>Desenvolver Parse de registros TG52</t>
  </si>
  <si>
    <t>Componente</t>
  </si>
  <si>
    <t>Mainframe</t>
  </si>
  <si>
    <t>Lambda</t>
  </si>
  <si>
    <t>Formatador Contábil</t>
  </si>
  <si>
    <t>Criar produto no Conciliação Débito para fazer lançamento</t>
  </si>
  <si>
    <t>Conciliação Débito</t>
  </si>
  <si>
    <t>Precisa de uma Oportunidade / Refinamento para definir a solução para que seja possível levantar o esforço.
A principio estou estimando 3 sprints, sendo 1 para definir solução + refinamento e 2 para iniciar desenvolvimento</t>
  </si>
  <si>
    <t>O desenvolvimento será iniciado na sprint 4. Estou reservando 40 horas, prevendo  transbordo.</t>
  </si>
  <si>
    <t xml:space="preserve">Tratar </t>
  </si>
  <si>
    <t>Normalmente é estimado um valor fixo. Verificar com Marcinha qual a quantidade de horas que normalmente é estimada.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</si>
</sst>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 wrapText="1" indent="1"/>
    </xf>
    <xf numFmtId="0" fontId="0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2FA8-ADDF-4863-A88B-6C1D393DF8DA}">
  <dimension ref="A1:C43"/>
  <sheetViews>
    <sheetView workbookViewId="0">
      <selection activeCell="A14" sqref="A14"/>
    </sheetView>
  </sheetViews>
  <sheetFormatPr defaultRowHeight="15" x14ac:dyDescent="0.25"/>
  <cols>
    <col min="1" max="1" width="42.5703125" style="3" customWidth="1"/>
    <col min="2" max="2" width="10" style="6" bestFit="1" customWidth="1"/>
    <col min="3" max="3" width="73.7109375" style="3" customWidth="1"/>
  </cols>
  <sheetData>
    <row r="1" spans="1:3" x14ac:dyDescent="0.25">
      <c r="A1" s="1" t="s">
        <v>25</v>
      </c>
      <c r="B1" s="7" t="s">
        <v>24</v>
      </c>
      <c r="C1" s="1" t="s">
        <v>26</v>
      </c>
    </row>
    <row r="2" spans="1:3" x14ac:dyDescent="0.25">
      <c r="A2" s="2" t="s">
        <v>0</v>
      </c>
      <c r="B2" s="5">
        <f>SUM(B3:B4)</f>
        <v>620</v>
      </c>
    </row>
    <row r="3" spans="1:3" ht="30" x14ac:dyDescent="0.25">
      <c r="A3" s="4" t="s">
        <v>1</v>
      </c>
      <c r="B3" s="6">
        <v>500</v>
      </c>
      <c r="C3" s="3" t="s">
        <v>47</v>
      </c>
    </row>
    <row r="4" spans="1:3" ht="30" x14ac:dyDescent="0.25">
      <c r="A4" s="4" t="s">
        <v>2</v>
      </c>
      <c r="B4" s="6">
        <v>120</v>
      </c>
      <c r="C4" s="3" t="s">
        <v>27</v>
      </c>
    </row>
    <row r="6" spans="1:3" x14ac:dyDescent="0.25">
      <c r="A6" s="2" t="s">
        <v>28</v>
      </c>
      <c r="B6" s="5">
        <f>SUM(B7:B8)</f>
        <v>696</v>
      </c>
    </row>
    <row r="7" spans="1:3" x14ac:dyDescent="0.25">
      <c r="A7" s="14" t="s">
        <v>29</v>
      </c>
      <c r="B7" s="6">
        <f>ESTM1!C9</f>
        <v>336</v>
      </c>
    </row>
    <row r="8" spans="1:3" ht="60" x14ac:dyDescent="0.25">
      <c r="A8" s="14" t="s">
        <v>22</v>
      </c>
      <c r="B8" s="6">
        <v>360</v>
      </c>
      <c r="C8" s="3" t="s">
        <v>44</v>
      </c>
    </row>
    <row r="10" spans="1:3" x14ac:dyDescent="0.25">
      <c r="A10" s="2" t="s">
        <v>3</v>
      </c>
      <c r="B10" s="5">
        <f>B11</f>
        <v>40</v>
      </c>
    </row>
    <row r="11" spans="1:3" ht="30" x14ac:dyDescent="0.25">
      <c r="A11" s="14" t="s">
        <v>4</v>
      </c>
      <c r="B11" s="6">
        <v>40</v>
      </c>
      <c r="C11" s="3" t="s">
        <v>45</v>
      </c>
    </row>
    <row r="12" spans="1:3" x14ac:dyDescent="0.25">
      <c r="A12" s="4"/>
    </row>
    <row r="13" spans="1:3" x14ac:dyDescent="0.25">
      <c r="A13" s="2" t="s">
        <v>23</v>
      </c>
      <c r="B13" s="5"/>
    </row>
    <row r="14" spans="1:3" x14ac:dyDescent="0.25">
      <c r="A14" s="15" t="s">
        <v>46</v>
      </c>
      <c r="B14" s="5"/>
    </row>
    <row r="15" spans="1:3" x14ac:dyDescent="0.25">
      <c r="A15" s="4"/>
    </row>
    <row r="16" spans="1:3" x14ac:dyDescent="0.25">
      <c r="A16" s="4"/>
    </row>
    <row r="17" spans="1:2" x14ac:dyDescent="0.25">
      <c r="A17" s="2" t="s">
        <v>18</v>
      </c>
      <c r="B17" s="5"/>
    </row>
    <row r="18" spans="1:2" x14ac:dyDescent="0.25">
      <c r="A18" s="4" t="s">
        <v>20</v>
      </c>
    </row>
    <row r="20" spans="1:2" x14ac:dyDescent="0.25">
      <c r="A20" s="2" t="s">
        <v>5</v>
      </c>
      <c r="B20" s="5"/>
    </row>
    <row r="21" spans="1:2" x14ac:dyDescent="0.25">
      <c r="A21" s="3" t="s">
        <v>6</v>
      </c>
    </row>
    <row r="22" spans="1:2" x14ac:dyDescent="0.25">
      <c r="A22" s="3" t="s">
        <v>7</v>
      </c>
    </row>
    <row r="24" spans="1:2" x14ac:dyDescent="0.25">
      <c r="A24" s="2" t="s">
        <v>8</v>
      </c>
      <c r="B24" s="5"/>
    </row>
    <row r="25" spans="1:2" x14ac:dyDescent="0.25">
      <c r="A25" s="3" t="s">
        <v>9</v>
      </c>
    </row>
    <row r="26" spans="1:2" x14ac:dyDescent="0.25">
      <c r="A26" s="3" t="s">
        <v>21</v>
      </c>
    </row>
    <row r="28" spans="1:2" x14ac:dyDescent="0.25">
      <c r="A28" s="2" t="s">
        <v>10</v>
      </c>
      <c r="B28" s="5"/>
    </row>
    <row r="29" spans="1:2" x14ac:dyDescent="0.25">
      <c r="A29" s="3" t="s">
        <v>11</v>
      </c>
    </row>
    <row r="31" spans="1:2" ht="30" x14ac:dyDescent="0.25">
      <c r="A31" s="2" t="s">
        <v>12</v>
      </c>
      <c r="B31" s="5"/>
    </row>
    <row r="32" spans="1:2" x14ac:dyDescent="0.25">
      <c r="A32" s="3" t="s">
        <v>13</v>
      </c>
    </row>
    <row r="33" spans="1:2" x14ac:dyDescent="0.25">
      <c r="A33" s="3" t="s">
        <v>14</v>
      </c>
    </row>
    <row r="35" spans="1:2" x14ac:dyDescent="0.25">
      <c r="A35" s="2" t="s">
        <v>15</v>
      </c>
      <c r="B35" s="5"/>
    </row>
    <row r="37" spans="1:2" x14ac:dyDescent="0.25">
      <c r="A37" s="2" t="s">
        <v>16</v>
      </c>
      <c r="B37" s="5"/>
    </row>
    <row r="38" spans="1:2" x14ac:dyDescent="0.25">
      <c r="A38" s="3" t="s">
        <v>19</v>
      </c>
    </row>
    <row r="43" spans="1:2" x14ac:dyDescent="0.25">
      <c r="A43" s="2" t="s">
        <v>17</v>
      </c>
      <c r="B43" s="5"/>
    </row>
  </sheetData>
  <hyperlinks>
    <hyperlink ref="A7" location="ESTM1!A1" display="Chargeback (ESTM1)" xr:uid="{A18D599B-3969-435D-86EC-B5E3E10DB23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E5CAD-01B4-41DD-928A-F6C7928763CB}">
  <dimension ref="A1:C9"/>
  <sheetViews>
    <sheetView tabSelected="1" workbookViewId="0">
      <selection activeCell="C11" sqref="C11"/>
    </sheetView>
  </sheetViews>
  <sheetFormatPr defaultRowHeight="15" x14ac:dyDescent="0.25"/>
  <cols>
    <col min="1" max="1" width="55.140625" customWidth="1"/>
    <col min="2" max="2" width="23.140625" customWidth="1"/>
    <col min="3" max="3" width="11.28515625" style="8" customWidth="1"/>
  </cols>
  <sheetData>
    <row r="1" spans="1:3" x14ac:dyDescent="0.25">
      <c r="A1" s="10" t="s">
        <v>30</v>
      </c>
      <c r="B1" s="10"/>
      <c r="C1" s="10"/>
    </row>
    <row r="2" spans="1:3" x14ac:dyDescent="0.25">
      <c r="A2" s="11" t="s">
        <v>31</v>
      </c>
      <c r="B2" s="11" t="s">
        <v>38</v>
      </c>
      <c r="C2" s="11" t="s">
        <v>32</v>
      </c>
    </row>
    <row r="3" spans="1:3" x14ac:dyDescent="0.25">
      <c r="A3" s="12" t="s">
        <v>33</v>
      </c>
      <c r="B3" s="12"/>
      <c r="C3" s="13">
        <v>24</v>
      </c>
    </row>
    <row r="4" spans="1:3" x14ac:dyDescent="0.25">
      <c r="A4" s="12" t="s">
        <v>35</v>
      </c>
      <c r="B4" s="12" t="s">
        <v>39</v>
      </c>
      <c r="C4" s="13">
        <v>16</v>
      </c>
    </row>
    <row r="5" spans="1:3" x14ac:dyDescent="0.25">
      <c r="A5" s="12" t="s">
        <v>34</v>
      </c>
      <c r="B5" s="12" t="s">
        <v>39</v>
      </c>
      <c r="C5" s="13">
        <v>16</v>
      </c>
    </row>
    <row r="6" spans="1:3" x14ac:dyDescent="0.25">
      <c r="A6" s="12" t="s">
        <v>36</v>
      </c>
      <c r="B6" s="12" t="s">
        <v>40</v>
      </c>
      <c r="C6" s="13">
        <v>80</v>
      </c>
    </row>
    <row r="7" spans="1:3" x14ac:dyDescent="0.25">
      <c r="A7" s="12" t="s">
        <v>37</v>
      </c>
      <c r="B7" s="12" t="s">
        <v>41</v>
      </c>
      <c r="C7" s="13">
        <v>80</v>
      </c>
    </row>
    <row r="8" spans="1:3" x14ac:dyDescent="0.25">
      <c r="A8" s="12" t="s">
        <v>42</v>
      </c>
      <c r="B8" s="12" t="s">
        <v>43</v>
      </c>
      <c r="C8" s="13">
        <v>120</v>
      </c>
    </row>
    <row r="9" spans="1:3" x14ac:dyDescent="0.25">
      <c r="C9" s="9">
        <f>SUM(C3:C8)</f>
        <v>336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Geral</vt:lpstr>
      <vt:lpstr>ESTM1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Gabriel</dc:creator>
  <cp:lastModifiedBy>Marcelo Gabriel</cp:lastModifiedBy>
  <dcterms:created xsi:type="dcterms:W3CDTF">2024-11-30T20:19:11Z</dcterms:created>
  <dcterms:modified xsi:type="dcterms:W3CDTF">2024-11-30T21:41:52Z</dcterms:modified>
</cp:coreProperties>
</file>