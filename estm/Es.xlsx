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git\trabalho\estm\"/>
    </mc:Choice>
  </mc:AlternateContent>
  <xr:revisionPtr revIDLastSave="0" documentId="13_ncr:1_{EF370454-4CBD-4C67-9933-902810B67744}" xr6:coauthVersionLast="47" xr6:coauthVersionMax="47" xr10:uidLastSave="{00000000-0000-0000-0000-000000000000}"/>
  <bookViews>
    <workbookView xWindow="-28920" yWindow="-1155" windowWidth="29040" windowHeight="15840" xr2:uid="{18667A4F-09A4-404A-8AF9-CC6CB5834135}"/>
  </bookViews>
  <sheets>
    <sheet name="Geral" sheetId="1" r:id="rId1"/>
    <sheet name="ESTM1" sheetId="2" r:id="rId2"/>
    <sheet name="ESTM2" sheetId="3" r:id="rId3"/>
    <sheet name="ESTM3" sheetId="4" r:id="rId4"/>
    <sheet name="ESTM4" sheetId="5" r:id="rId5"/>
    <sheet name="ESTM5" sheetId="6" r:id="rId6"/>
  </sheets>
  <definedNames>
    <definedName name="_xlnm._FilterDatabase" localSheetId="0" hidden="1">Geral!$A$1:$C$1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6" i="1" l="1"/>
  <c r="B55" i="1"/>
  <c r="B54" i="1"/>
  <c r="B53" i="1"/>
  <c r="B52" i="1"/>
  <c r="B51" i="1"/>
  <c r="B50" i="1"/>
  <c r="C36" i="6"/>
  <c r="C31" i="6"/>
  <c r="C26" i="6"/>
  <c r="C21" i="6"/>
  <c r="C11" i="6"/>
  <c r="C16" i="6"/>
  <c r="C3" i="6"/>
  <c r="B28" i="1"/>
  <c r="C5" i="5"/>
  <c r="B22" i="1"/>
  <c r="C6" i="4"/>
  <c r="B21" i="1"/>
  <c r="C8" i="3"/>
  <c r="C9" i="2"/>
  <c r="B7" i="1" s="1"/>
  <c r="B62" i="1" l="1"/>
</calcChain>
</file>

<file path=xl/sharedStrings.xml><?xml version="1.0" encoding="utf-8"?>
<sst xmlns="http://schemas.openxmlformats.org/spreadsheetml/2006/main" count="177" uniqueCount="118">
  <si>
    <t>Release de Bandeiras</t>
  </si>
  <si>
    <t>Release de Bandeira Q1 e Q2/25</t>
  </si>
  <si>
    <t>Pré Autorização - Decurso de prazo</t>
  </si>
  <si>
    <t>Modernização Master</t>
  </si>
  <si>
    <t>Modernização Transações Administrativas</t>
  </si>
  <si>
    <t>Demanda Regulatória</t>
  </si>
  <si>
    <t>Finalizar Desenvolvimento</t>
  </si>
  <si>
    <t>Carga</t>
  </si>
  <si>
    <t>Dados</t>
  </si>
  <si>
    <t>Suporte TO2</t>
  </si>
  <si>
    <t>Direciona Tech</t>
  </si>
  <si>
    <t>Modernização Conciliação - Serviço Conciliação Contábil De Cartão Débito</t>
  </si>
  <si>
    <t>WA PAY Visa - Desativação</t>
  </si>
  <si>
    <t>Chargeback Single Message</t>
  </si>
  <si>
    <t>Camada Zero</t>
  </si>
  <si>
    <t>Conexão direta com a Master</t>
  </si>
  <si>
    <t>Falcon</t>
  </si>
  <si>
    <t>Modernização Visa</t>
  </si>
  <si>
    <t>Projeto multiconexão</t>
  </si>
  <si>
    <t>Levar dados para Mesh</t>
  </si>
  <si>
    <t>Pré-Autorização</t>
  </si>
  <si>
    <t>Débito Técnico</t>
  </si>
  <si>
    <t>Qtd Horas</t>
  </si>
  <si>
    <t>Demanda</t>
  </si>
  <si>
    <t>Observação</t>
  </si>
  <si>
    <t xml:space="preserve">DMC </t>
  </si>
  <si>
    <t>Chargeback (ESTM1)</t>
  </si>
  <si>
    <t>Estimativa Chargeback DMC</t>
  </si>
  <si>
    <t>Task</t>
  </si>
  <si>
    <t>Horas</t>
  </si>
  <si>
    <t>Refinamentos</t>
  </si>
  <si>
    <t>Criar rotina para transmitir arquivo TG52 para o bucket S3</t>
  </si>
  <si>
    <t>Criar rotina para formatar arquivo TG52 no padrão Lambda</t>
  </si>
  <si>
    <t>Criar lambda para consistir arquivo TG52</t>
  </si>
  <si>
    <t>Desenvolver Parse de registros TG52</t>
  </si>
  <si>
    <t>Componente</t>
  </si>
  <si>
    <t>Mainframe</t>
  </si>
  <si>
    <t>Lambda</t>
  </si>
  <si>
    <t>Formatador Contábil</t>
  </si>
  <si>
    <t>Criar produto no Conciliação Débito para fazer lançamento</t>
  </si>
  <si>
    <t>Conciliação Débito</t>
  </si>
  <si>
    <t>Precisa de uma Oportunidade / Refinamento para definir a solução para que seja possível levantar o esforço.
A principio estou estimando 3 sprints, sendo 1 para definir solução + refinamento e 2 para iniciar desenvolvimento</t>
  </si>
  <si>
    <t>O desenvolvimento será iniciado na sprint 4. Estou reservando 40 horas, prevendo  transbordo.</t>
  </si>
  <si>
    <t>Normalmente é estimado um valor fixo. Verificar com Marcinha qual a quantidade de horas que normalmente é estimada.</t>
  </si>
  <si>
    <t>Desenho de solução</t>
  </si>
  <si>
    <t>Vai depender do andamento da sprint 4
A principio estou estimando 1 sprint</t>
  </si>
  <si>
    <t>Tratamento de registros base 2 sem base 1</t>
  </si>
  <si>
    <t>Aumentar Resiliência do Conciliação Débito</t>
  </si>
  <si>
    <t>Migrar Conciliação do arquivo T464 para Conciliação Débito</t>
  </si>
  <si>
    <t>Tratar decurso de prazo de transações a partir da tabela de transações</t>
  </si>
  <si>
    <t>Gap atual da Conciliação de transações, gerando falta de visão e possível diferença contábil</t>
  </si>
  <si>
    <t>Pré requisito para migrar Conciliação do arquivo T464</t>
  </si>
  <si>
    <t>Necessário para Desativação do antigo Conciliação, gerando redução de custo</t>
  </si>
  <si>
    <t>Migrar ACL Autenticação no Segurança</t>
  </si>
  <si>
    <t>Unificação dos autorizadores - Lavantamento dos impactos</t>
  </si>
  <si>
    <t>Documentação</t>
  </si>
  <si>
    <t>ver com Mateus</t>
  </si>
  <si>
    <t>Criação da conta aws</t>
  </si>
  <si>
    <t>Tratar TC 05 após tratamento de decurso de prazo</t>
  </si>
  <si>
    <t>Gap da plataforma modernizada</t>
  </si>
  <si>
    <t>Ver com Thiago</t>
  </si>
  <si>
    <t>Ver com Nishi</t>
  </si>
  <si>
    <t>Migrar ACL Autenticação no Segurança (ESTM2)</t>
  </si>
  <si>
    <t>Mapeamento dos impactos (eventos x consumidores, etc), definição da solução e Refinamento</t>
  </si>
  <si>
    <t>Desativar micro-serviço Fraudes Bandeiras (ESTM3)</t>
  </si>
  <si>
    <t>Pré requisito Camada Zero / Simplificação e Evolução da plataforma</t>
  </si>
  <si>
    <t>Adaptar Autorizador Digital para usar o Segurança para validar autenticação 3DS</t>
  </si>
  <si>
    <t>Incluir função para validação de autenticação 3DS</t>
  </si>
  <si>
    <t>Alterar transação CR1 para se integrar com a  transação 3DS para função de autenticação 3DS</t>
  </si>
  <si>
    <t>Alterar transação 3DS para se integrar com a  transação CR1 para função de autenticação 3DS</t>
  </si>
  <si>
    <t>aws - Autorizador Digital</t>
  </si>
  <si>
    <t>aws - ACL Segurança</t>
  </si>
  <si>
    <t>Mainframe - CR1</t>
  </si>
  <si>
    <t>Mainframe - 3DS</t>
  </si>
  <si>
    <t>Levantar campos que existem no contrato atual com Fraudes e não existe no transação finalizada</t>
  </si>
  <si>
    <t>Alterar Formatador para direcionar transação de advice Mastercard para o Autorizador Presente</t>
  </si>
  <si>
    <t>aws - Formatador</t>
  </si>
  <si>
    <t>Validação e Testes do Autorizador Presente</t>
  </si>
  <si>
    <t>Desativar micro-serviço Fraudes Bandeiras - Gravar transações advice mastercard no mesh</t>
  </si>
  <si>
    <r>
      <t xml:space="preserve">Pré requisito Camada Zero / Simplificação e Evolução da plataforma
</t>
    </r>
    <r>
      <rPr>
        <sz val="11"/>
        <color rgb="FFFF0000"/>
        <rFont val="Aptos Narrow"/>
        <family val="2"/>
        <scheme val="minor"/>
      </rPr>
      <t>Necessário puxar discovery com time AQ5</t>
    </r>
    <r>
      <rPr>
        <sz val="11"/>
        <color theme="1"/>
        <rFont val="Aptos Narrow"/>
        <family val="2"/>
        <scheme val="minor"/>
      </rPr>
      <t xml:space="preserve">
Sinergia com a frente Dados </t>
    </r>
  </si>
  <si>
    <t>Alterar Formatador para direcionar todas as transações para o Autorizador</t>
  </si>
  <si>
    <t>Criar produto(s) para tratar as transações direcionadas pelo Formatador</t>
  </si>
  <si>
    <t>aws - Autorizador Presente</t>
  </si>
  <si>
    <t>Ver com Regi</t>
  </si>
  <si>
    <t>Necessário aguardar direcionamento do Cores</t>
  </si>
  <si>
    <t>?</t>
  </si>
  <si>
    <t>Datadog ?</t>
  </si>
  <si>
    <t>Necssário alinhar com o time da Operação / Backoffice que o Chargeback será processado em D+1</t>
  </si>
  <si>
    <t>Pavimentação</t>
  </si>
  <si>
    <t>Implementar Cenário 1 - Erro gerado COM ocorrência X0</t>
  </si>
  <si>
    <t>Implementar Cenário 2 - Erro gerado SEM ocorrência X0 - Retorno Segurança</t>
  </si>
  <si>
    <t>mplementar Cenário 2 - Erro gerado SEM ocorrência X0 - Retorno Demais Serviços</t>
  </si>
  <si>
    <t>Implementar Cenário 3 - Erro gerado no próprio Autorizador</t>
  </si>
  <si>
    <t>Implementar Cenário 3 - Erro gerado no Conciliação</t>
  </si>
  <si>
    <t>Motivo de erro Interno (ESTM5)</t>
  </si>
  <si>
    <t>Incluir campo no evento Transação Finalizada e Conciliação Finalizada</t>
  </si>
  <si>
    <t>Alterar Glue Job </t>
  </si>
  <si>
    <t>Incluir Campo na Tabela de Transações</t>
  </si>
  <si>
    <t>Incluir campo no response da API</t>
  </si>
  <si>
    <t>Incluir campo nas tabelas Data Mesh</t>
  </si>
  <si>
    <t>Mapeamento do campo no Autorizadores</t>
  </si>
  <si>
    <t>Realizar mapeamento / engenharia reversa das ocorrências X0 retornadas pelos serviços Contas, Limite operacional e Limite Portador</t>
  </si>
  <si>
    <t>Correlacionar as ocorrências X0  com os códigos de motivo do Autorizador de Crédito</t>
  </si>
  <si>
    <t>Desenvolver De Para: Ocorrência X0 x Motivo Interno mapeando para o novo campo de motivo de erro interno</t>
  </si>
  <si>
    <t>Autorizador</t>
  </si>
  <si>
    <t>n/a</t>
  </si>
  <si>
    <t>Mapeamento dos erros retornados pelo Segurança</t>
  </si>
  <si>
    <t>Criar interpretador do retorno do serviço de Segurança para montar o código de erro Interno para o novo campo de motivo de erro interno</t>
  </si>
  <si>
    <t>Implementar Cenário 2 - Erro gerado SEM ocorrência X0 - BC, AQ5, CC</t>
  </si>
  <si>
    <t>Criar interpretador do retorno dos serviços das siglas BC, AQ5 e CC para montar o código de erro Interno para o novo campo de motivo de erro interno</t>
  </si>
  <si>
    <t>Implementar Cenário 2 - Erro gerado SEM ocorrência X0 - Demais Serviços</t>
  </si>
  <si>
    <t>Criar interpretador do retorno dos demais serviços para montar o código de erro Interno para o novo campo de motivo de erro interno</t>
  </si>
  <si>
    <t>Mapeamento dos erros retornados pelos serviços das siglas BC, AQ5 e CC</t>
  </si>
  <si>
    <t>Mapeamento dos erros retornados pelos demais serviços</t>
  </si>
  <si>
    <t>Mapeamento dos erros gerado pelo Autorizador</t>
  </si>
  <si>
    <t>Ajustar Error Handler para tratar o novo campo código motivo erro interno</t>
  </si>
  <si>
    <t>Implementar Cenário 4 - Erro gerado no Conciliação</t>
  </si>
  <si>
    <t>Mapeamento dos erros gerado pelo Conciliação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</si>
</sst>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000000"/>
      <name val="Helvetica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center" wrapText="1" inden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0" xfId="0" applyFont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indent="1"/>
    </xf>
    <xf numFmtId="0" fontId="0" fillId="0" borderId="0" xfId="0" applyBorder="1"/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 inden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66675</xdr:colOff>
      <xdr:row>2</xdr:row>
      <xdr:rowOff>19050</xdr:rowOff>
    </xdr:from>
    <xdr:to>
      <xdr:col>15</xdr:col>
      <xdr:colOff>0</xdr:colOff>
      <xdr:row>66</xdr:row>
      <xdr:rowOff>7606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0FDA39D-188C-943A-C95D-B177F6FE7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67650" y="400050"/>
          <a:ext cx="5419725" cy="121805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419100</xdr:colOff>
      <xdr:row>2</xdr:row>
      <xdr:rowOff>171450</xdr:rowOff>
    </xdr:from>
    <xdr:to>
      <xdr:col>23</xdr:col>
      <xdr:colOff>103290</xdr:colOff>
      <xdr:row>39</xdr:row>
      <xdr:rowOff>151521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4394429-D520-109B-AA58-93504C655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29625" y="552450"/>
          <a:ext cx="11876190" cy="70285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15</xdr:col>
      <xdr:colOff>446933</xdr:colOff>
      <xdr:row>38</xdr:row>
      <xdr:rowOff>142000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4008F7-21C8-E416-E8AF-C981E06E0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39325" y="381000"/>
          <a:ext cx="5933333" cy="7000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15</xdr:col>
      <xdr:colOff>542171</xdr:colOff>
      <xdr:row>77</xdr:row>
      <xdr:rowOff>56262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973D281A-0DBA-DFA6-EC8A-B3D0D70F2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39325" y="8001000"/>
          <a:ext cx="6028571" cy="7104762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79</xdr:row>
      <xdr:rowOff>0</xdr:rowOff>
    </xdr:from>
    <xdr:to>
      <xdr:col>13</xdr:col>
      <xdr:colOff>66133</xdr:colOff>
      <xdr:row>116</xdr:row>
      <xdr:rowOff>122928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8BC7F6E8-7DED-58C8-77B7-60BA79E22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39325" y="15430500"/>
          <a:ext cx="4333333" cy="717142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2</xdr:row>
      <xdr:rowOff>104775</xdr:rowOff>
    </xdr:from>
    <xdr:to>
      <xdr:col>17</xdr:col>
      <xdr:colOff>427548</xdr:colOff>
      <xdr:row>39</xdr:row>
      <xdr:rowOff>132465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C8E09791-03A0-0C0C-9D4C-3B185B6E6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2025" y="485775"/>
          <a:ext cx="8619048" cy="70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E2FA8-ADDF-4863-A88B-6C1D393DF8DA}">
  <dimension ref="A1:C62"/>
  <sheetViews>
    <sheetView tabSelected="1" workbookViewId="0">
      <selection activeCell="G13" sqref="G13"/>
    </sheetView>
  </sheetViews>
  <sheetFormatPr defaultRowHeight="15" x14ac:dyDescent="0.25"/>
  <cols>
    <col min="1" max="1" width="56.5703125" style="3" bestFit="1" customWidth="1"/>
    <col min="2" max="2" width="14.5703125" style="6" bestFit="1" customWidth="1"/>
    <col min="3" max="3" width="73.28515625" style="3" bestFit="1" customWidth="1"/>
  </cols>
  <sheetData>
    <row r="1" spans="1:3" x14ac:dyDescent="0.25">
      <c r="A1" s="1" t="s">
        <v>23</v>
      </c>
      <c r="B1" s="7" t="s">
        <v>22</v>
      </c>
      <c r="C1" s="1" t="s">
        <v>24</v>
      </c>
    </row>
    <row r="2" spans="1:3" x14ac:dyDescent="0.25">
      <c r="A2" s="2" t="s">
        <v>0</v>
      </c>
      <c r="B2" s="5"/>
    </row>
    <row r="3" spans="1:3" ht="30" x14ac:dyDescent="0.25">
      <c r="A3" s="4" t="s">
        <v>1</v>
      </c>
      <c r="B3" s="6">
        <v>500</v>
      </c>
      <c r="C3" s="3" t="s">
        <v>43</v>
      </c>
    </row>
    <row r="4" spans="1:3" ht="30" x14ac:dyDescent="0.25">
      <c r="A4" s="4" t="s">
        <v>2</v>
      </c>
      <c r="B4" s="6">
        <v>120</v>
      </c>
      <c r="C4" s="3" t="s">
        <v>45</v>
      </c>
    </row>
    <row r="6" spans="1:3" x14ac:dyDescent="0.25">
      <c r="A6" s="2" t="s">
        <v>25</v>
      </c>
      <c r="B6" s="5"/>
    </row>
    <row r="7" spans="1:3" x14ac:dyDescent="0.25">
      <c r="A7" s="13" t="s">
        <v>26</v>
      </c>
      <c r="B7" s="6">
        <f>ESTM1!C9</f>
        <v>336</v>
      </c>
    </row>
    <row r="8" spans="1:3" ht="60" x14ac:dyDescent="0.25">
      <c r="A8" s="13" t="s">
        <v>20</v>
      </c>
      <c r="B8" s="6">
        <v>360</v>
      </c>
      <c r="C8" s="3" t="s">
        <v>41</v>
      </c>
    </row>
    <row r="10" spans="1:3" x14ac:dyDescent="0.25">
      <c r="A10" s="2" t="s">
        <v>3</v>
      </c>
      <c r="B10" s="5"/>
    </row>
    <row r="11" spans="1:3" ht="30" x14ac:dyDescent="0.25">
      <c r="A11" s="13" t="s">
        <v>4</v>
      </c>
      <c r="B11" s="6">
        <v>40</v>
      </c>
      <c r="C11" s="3" t="s">
        <v>42</v>
      </c>
    </row>
    <row r="12" spans="1:3" x14ac:dyDescent="0.25">
      <c r="A12" s="4"/>
    </row>
    <row r="13" spans="1:3" x14ac:dyDescent="0.25">
      <c r="A13" s="2" t="s">
        <v>21</v>
      </c>
      <c r="B13" s="5"/>
    </row>
    <row r="14" spans="1:3" ht="30" x14ac:dyDescent="0.25">
      <c r="A14" s="13" t="s">
        <v>46</v>
      </c>
      <c r="B14" s="18">
        <v>80</v>
      </c>
      <c r="C14" s="3" t="s">
        <v>50</v>
      </c>
    </row>
    <row r="15" spans="1:3" x14ac:dyDescent="0.25">
      <c r="A15" s="13" t="s">
        <v>47</v>
      </c>
      <c r="B15" s="6">
        <v>120</v>
      </c>
      <c r="C15" s="3" t="s">
        <v>51</v>
      </c>
    </row>
    <row r="16" spans="1:3" x14ac:dyDescent="0.25">
      <c r="A16" s="13" t="s">
        <v>48</v>
      </c>
      <c r="B16" s="6">
        <v>80</v>
      </c>
      <c r="C16" s="3" t="s">
        <v>52</v>
      </c>
    </row>
    <row r="17" spans="1:3" ht="30" x14ac:dyDescent="0.25">
      <c r="A17" s="13" t="s">
        <v>49</v>
      </c>
      <c r="B17" s="6">
        <v>160</v>
      </c>
      <c r="C17" s="3" t="s">
        <v>52</v>
      </c>
    </row>
    <row r="18" spans="1:3" x14ac:dyDescent="0.25">
      <c r="A18" s="13"/>
    </row>
    <row r="19" spans="1:3" x14ac:dyDescent="0.25">
      <c r="A19" s="2" t="s">
        <v>14</v>
      </c>
      <c r="B19" s="5"/>
    </row>
    <row r="20" spans="1:3" ht="30" x14ac:dyDescent="0.25">
      <c r="A20" s="13" t="s">
        <v>54</v>
      </c>
      <c r="B20" s="18">
        <v>120</v>
      </c>
      <c r="C20" s="3" t="s">
        <v>63</v>
      </c>
    </row>
    <row r="21" spans="1:3" x14ac:dyDescent="0.25">
      <c r="A21" s="13" t="s">
        <v>62</v>
      </c>
      <c r="B21" s="6">
        <f>ESTM2!C8</f>
        <v>344</v>
      </c>
      <c r="C21" s="3" t="s">
        <v>65</v>
      </c>
    </row>
    <row r="22" spans="1:3" ht="45" x14ac:dyDescent="0.25">
      <c r="A22" s="13" t="s">
        <v>64</v>
      </c>
      <c r="B22" s="6">
        <f>ESTM3!C6</f>
        <v>120</v>
      </c>
      <c r="C22" s="3" t="s">
        <v>79</v>
      </c>
    </row>
    <row r="23" spans="1:3" x14ac:dyDescent="0.25">
      <c r="A23" s="13" t="s">
        <v>55</v>
      </c>
      <c r="B23" s="6" t="s">
        <v>85</v>
      </c>
      <c r="C23" s="19" t="s">
        <v>56</v>
      </c>
    </row>
    <row r="24" spans="1:3" x14ac:dyDescent="0.25">
      <c r="A24" s="13" t="s">
        <v>57</v>
      </c>
      <c r="B24" s="6" t="s">
        <v>85</v>
      </c>
      <c r="C24" s="19" t="s">
        <v>56</v>
      </c>
    </row>
    <row r="25" spans="1:3" x14ac:dyDescent="0.25">
      <c r="A25" s="4"/>
    </row>
    <row r="26" spans="1:3" x14ac:dyDescent="0.25">
      <c r="A26" s="2" t="s">
        <v>8</v>
      </c>
      <c r="B26" s="5"/>
    </row>
    <row r="27" spans="1:3" x14ac:dyDescent="0.25">
      <c r="A27" s="13" t="s">
        <v>9</v>
      </c>
      <c r="B27" s="6" t="s">
        <v>85</v>
      </c>
      <c r="C27" s="19" t="s">
        <v>61</v>
      </c>
    </row>
    <row r="28" spans="1:3" x14ac:dyDescent="0.25">
      <c r="A28" s="13" t="s">
        <v>19</v>
      </c>
      <c r="B28" s="6">
        <f>ESTM4!C5</f>
        <v>200</v>
      </c>
    </row>
    <row r="30" spans="1:3" x14ac:dyDescent="0.25">
      <c r="A30" s="2" t="s">
        <v>17</v>
      </c>
      <c r="B30" s="5"/>
    </row>
    <row r="31" spans="1:3" x14ac:dyDescent="0.25">
      <c r="A31" s="13" t="s">
        <v>58</v>
      </c>
      <c r="B31" s="6">
        <v>80</v>
      </c>
      <c r="C31" s="3" t="s">
        <v>59</v>
      </c>
    </row>
    <row r="33" spans="1:3" x14ac:dyDescent="0.25">
      <c r="A33" s="2" t="s">
        <v>5</v>
      </c>
      <c r="B33" s="5"/>
    </row>
    <row r="34" spans="1:3" ht="30" x14ac:dyDescent="0.25">
      <c r="A34" s="13" t="s">
        <v>6</v>
      </c>
      <c r="B34" s="6">
        <v>120</v>
      </c>
      <c r="C34" s="3" t="s">
        <v>45</v>
      </c>
    </row>
    <row r="35" spans="1:3" x14ac:dyDescent="0.25">
      <c r="A35" s="13" t="s">
        <v>7</v>
      </c>
      <c r="B35" s="6" t="s">
        <v>85</v>
      </c>
      <c r="C35" s="19" t="s">
        <v>60</v>
      </c>
    </row>
    <row r="38" spans="1:3" x14ac:dyDescent="0.25">
      <c r="A38" s="2" t="s">
        <v>10</v>
      </c>
      <c r="B38" s="5"/>
    </row>
    <row r="39" spans="1:3" x14ac:dyDescent="0.25">
      <c r="A39" s="13" t="s">
        <v>86</v>
      </c>
      <c r="B39" s="6" t="s">
        <v>85</v>
      </c>
    </row>
    <row r="40" spans="1:3" x14ac:dyDescent="0.25">
      <c r="A40" s="13" t="s">
        <v>84</v>
      </c>
      <c r="B40" s="18" t="s">
        <v>85</v>
      </c>
    </row>
    <row r="42" spans="1:3" ht="30" x14ac:dyDescent="0.25">
      <c r="A42" s="2" t="s">
        <v>11</v>
      </c>
      <c r="B42" s="5"/>
    </row>
    <row r="43" spans="1:3" x14ac:dyDescent="0.25">
      <c r="A43" s="13" t="s">
        <v>12</v>
      </c>
      <c r="B43" s="6">
        <v>40</v>
      </c>
    </row>
    <row r="44" spans="1:3" ht="30" x14ac:dyDescent="0.25">
      <c r="A44" s="13" t="s">
        <v>13</v>
      </c>
      <c r="B44" s="6">
        <v>120</v>
      </c>
      <c r="C44" s="3" t="s">
        <v>87</v>
      </c>
    </row>
    <row r="46" spans="1:3" x14ac:dyDescent="0.25">
      <c r="A46" s="2" t="s">
        <v>15</v>
      </c>
      <c r="B46" s="5"/>
    </row>
    <row r="47" spans="1:3" x14ac:dyDescent="0.25">
      <c r="A47" s="13" t="s">
        <v>18</v>
      </c>
    </row>
    <row r="49" spans="1:3" x14ac:dyDescent="0.25">
      <c r="A49" s="20" t="s">
        <v>94</v>
      </c>
    </row>
    <row r="50" spans="1:3" x14ac:dyDescent="0.25">
      <c r="A50" s="21" t="s">
        <v>88</v>
      </c>
      <c r="B50" s="6">
        <f>ESTM5!C3</f>
        <v>120</v>
      </c>
    </row>
    <row r="51" spans="1:3" x14ac:dyDescent="0.25">
      <c r="A51" s="21" t="s">
        <v>89</v>
      </c>
      <c r="B51" s="6">
        <f>ESTM5!C11</f>
        <v>166</v>
      </c>
    </row>
    <row r="52" spans="1:3" ht="30" x14ac:dyDescent="0.25">
      <c r="A52" s="21" t="s">
        <v>90</v>
      </c>
      <c r="B52" s="6">
        <f>ESTM5!C16</f>
        <v>122</v>
      </c>
    </row>
    <row r="53" spans="1:3" ht="30" x14ac:dyDescent="0.25">
      <c r="A53" s="21" t="s">
        <v>108</v>
      </c>
      <c r="B53" s="6">
        <f>ESTM5!C21</f>
        <v>104</v>
      </c>
    </row>
    <row r="54" spans="1:3" ht="30" x14ac:dyDescent="0.25">
      <c r="A54" s="21" t="s">
        <v>91</v>
      </c>
      <c r="B54" s="6">
        <f>ESTM5!C26</f>
        <v>104</v>
      </c>
    </row>
    <row r="55" spans="1:3" x14ac:dyDescent="0.25">
      <c r="A55" s="21" t="s">
        <v>92</v>
      </c>
      <c r="B55" s="6">
        <f>ESTM5!C31</f>
        <v>128</v>
      </c>
    </row>
    <row r="56" spans="1:3" x14ac:dyDescent="0.25">
      <c r="A56" s="21" t="s">
        <v>93</v>
      </c>
      <c r="B56" s="6">
        <f>ESTM5!C36</f>
        <v>128</v>
      </c>
    </row>
    <row r="57" spans="1:3" x14ac:dyDescent="0.25">
      <c r="A57" s="21" t="s">
        <v>55</v>
      </c>
      <c r="B57" s="6">
        <v>120</v>
      </c>
    </row>
    <row r="59" spans="1:3" x14ac:dyDescent="0.25">
      <c r="A59" s="2" t="s">
        <v>16</v>
      </c>
      <c r="B59" s="18" t="s">
        <v>85</v>
      </c>
      <c r="C59" s="19" t="s">
        <v>83</v>
      </c>
    </row>
    <row r="62" spans="1:3" x14ac:dyDescent="0.25">
      <c r="B62" s="5">
        <f>SUM(B2:B61)</f>
        <v>3932</v>
      </c>
    </row>
  </sheetData>
  <autoFilter ref="A1:C1" xr:uid="{59EE2FA8-ADDF-4863-A88B-6C1D393DF8DA}"/>
  <hyperlinks>
    <hyperlink ref="A7" location="ESTM1!A1" display="Chargeback (ESTM1)" xr:uid="{A18D599B-3969-435D-86EC-B5E3E10DB233}"/>
    <hyperlink ref="A21" location="ESTM2!A1" display="Migrar ACL Autenticação no Segurança (ESTM2)" xr:uid="{25C6114A-AFAE-4F85-BD16-E47B9D324FDB}"/>
    <hyperlink ref="A22" location="ESTM3!A1" display="Desativar micro-serviço Fraudes Bandeiras (ESTM3)" xr:uid="{31331AC1-B46F-4D5F-A6A8-A0BDFCFD76C5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5CAD-01B4-41DD-928A-F6C7928763CB}">
  <dimension ref="A1:O9"/>
  <sheetViews>
    <sheetView workbookViewId="0">
      <selection activeCell="C8" sqref="C8"/>
    </sheetView>
  </sheetViews>
  <sheetFormatPr defaultRowHeight="15" x14ac:dyDescent="0.25"/>
  <cols>
    <col min="1" max="1" width="55.140625" customWidth="1"/>
    <col min="2" max="2" width="23.140625" customWidth="1"/>
    <col min="3" max="3" width="11.28515625" style="8" customWidth="1"/>
  </cols>
  <sheetData>
    <row r="1" spans="1:15" x14ac:dyDescent="0.25">
      <c r="A1" s="14" t="s">
        <v>27</v>
      </c>
      <c r="B1" s="14"/>
      <c r="C1" s="14"/>
    </row>
    <row r="2" spans="1:15" x14ac:dyDescent="0.25">
      <c r="A2" s="10" t="s">
        <v>28</v>
      </c>
      <c r="B2" s="10" t="s">
        <v>35</v>
      </c>
      <c r="C2" s="10" t="s">
        <v>29</v>
      </c>
      <c r="G2" s="15" t="s">
        <v>44</v>
      </c>
      <c r="H2" s="16"/>
      <c r="I2" s="16"/>
      <c r="J2" s="16"/>
      <c r="K2" s="16"/>
      <c r="L2" s="16"/>
      <c r="M2" s="16"/>
      <c r="N2" s="16"/>
      <c r="O2" s="17"/>
    </row>
    <row r="3" spans="1:15" x14ac:dyDescent="0.25">
      <c r="A3" s="11" t="s">
        <v>30</v>
      </c>
      <c r="B3" s="11"/>
      <c r="C3" s="12">
        <v>24</v>
      </c>
    </row>
    <row r="4" spans="1:15" x14ac:dyDescent="0.25">
      <c r="A4" s="11" t="s">
        <v>32</v>
      </c>
      <c r="B4" s="11" t="s">
        <v>36</v>
      </c>
      <c r="C4" s="12">
        <v>16</v>
      </c>
    </row>
    <row r="5" spans="1:15" x14ac:dyDescent="0.25">
      <c r="A5" s="11" t="s">
        <v>31</v>
      </c>
      <c r="B5" s="11" t="s">
        <v>36</v>
      </c>
      <c r="C5" s="12">
        <v>16</v>
      </c>
    </row>
    <row r="6" spans="1:15" x14ac:dyDescent="0.25">
      <c r="A6" s="11" t="s">
        <v>33</v>
      </c>
      <c r="B6" s="11" t="s">
        <v>37</v>
      </c>
      <c r="C6" s="12">
        <v>80</v>
      </c>
    </row>
    <row r="7" spans="1:15" x14ac:dyDescent="0.25">
      <c r="A7" s="11" t="s">
        <v>34</v>
      </c>
      <c r="B7" s="11" t="s">
        <v>38</v>
      </c>
      <c r="C7" s="12">
        <v>80</v>
      </c>
    </row>
    <row r="8" spans="1:15" x14ac:dyDescent="0.25">
      <c r="A8" s="11" t="s">
        <v>39</v>
      </c>
      <c r="B8" s="11" t="s">
        <v>40</v>
      </c>
      <c r="C8" s="12">
        <v>120</v>
      </c>
    </row>
    <row r="9" spans="1:15" x14ac:dyDescent="0.25">
      <c r="C9" s="9">
        <f>SUM(C3:C8)</f>
        <v>336</v>
      </c>
    </row>
  </sheetData>
  <mergeCells count="2">
    <mergeCell ref="A1:C1"/>
    <mergeCell ref="G2:O2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836D3-5F45-41F6-86AB-EE92AD26971D}">
  <dimension ref="A1:O8"/>
  <sheetViews>
    <sheetView workbookViewId="0">
      <selection activeCell="A20" sqref="A20"/>
    </sheetView>
  </sheetViews>
  <sheetFormatPr defaultRowHeight="15" x14ac:dyDescent="0.25"/>
  <cols>
    <col min="1" max="1" width="85.7109375" bestFit="1" customWidth="1"/>
    <col min="2" max="2" width="23.140625" customWidth="1"/>
    <col min="3" max="3" width="11.28515625" style="8" customWidth="1"/>
  </cols>
  <sheetData>
    <row r="1" spans="1:15" x14ac:dyDescent="0.25">
      <c r="A1" s="14" t="s">
        <v>53</v>
      </c>
      <c r="B1" s="14"/>
      <c r="C1" s="14"/>
    </row>
    <row r="2" spans="1:15" x14ac:dyDescent="0.25">
      <c r="A2" s="10" t="s">
        <v>28</v>
      </c>
      <c r="B2" s="10" t="s">
        <v>35</v>
      </c>
      <c r="C2" s="10" t="s">
        <v>29</v>
      </c>
      <c r="G2" s="15" t="s">
        <v>44</v>
      </c>
      <c r="H2" s="16"/>
      <c r="I2" s="16"/>
      <c r="J2" s="16"/>
      <c r="K2" s="16"/>
      <c r="L2" s="16"/>
      <c r="M2" s="16"/>
      <c r="N2" s="16"/>
      <c r="O2" s="17"/>
    </row>
    <row r="3" spans="1:15" x14ac:dyDescent="0.25">
      <c r="A3" s="11" t="s">
        <v>30</v>
      </c>
      <c r="B3" s="11"/>
      <c r="C3" s="12">
        <v>24</v>
      </c>
    </row>
    <row r="4" spans="1:15" x14ac:dyDescent="0.25">
      <c r="A4" s="11" t="s">
        <v>66</v>
      </c>
      <c r="B4" s="11" t="s">
        <v>70</v>
      </c>
      <c r="C4" s="12">
        <v>60</v>
      </c>
    </row>
    <row r="5" spans="1:15" x14ac:dyDescent="0.25">
      <c r="A5" s="11" t="s">
        <v>67</v>
      </c>
      <c r="B5" s="11" t="s">
        <v>71</v>
      </c>
      <c r="C5" s="12">
        <v>80</v>
      </c>
    </row>
    <row r="6" spans="1:15" x14ac:dyDescent="0.25">
      <c r="A6" s="11" t="s">
        <v>68</v>
      </c>
      <c r="B6" s="11" t="s">
        <v>72</v>
      </c>
      <c r="C6" s="12">
        <v>90</v>
      </c>
    </row>
    <row r="7" spans="1:15" x14ac:dyDescent="0.25">
      <c r="A7" s="11" t="s">
        <v>69</v>
      </c>
      <c r="B7" s="11" t="s">
        <v>73</v>
      </c>
      <c r="C7" s="12">
        <v>90</v>
      </c>
    </row>
    <row r="8" spans="1:15" x14ac:dyDescent="0.25">
      <c r="C8" s="9">
        <f>SUM(C3:C7)</f>
        <v>344</v>
      </c>
    </row>
  </sheetData>
  <mergeCells count="2">
    <mergeCell ref="A1:C1"/>
    <mergeCell ref="G2:O2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B3C2-0695-44A6-9001-E4F94DA203D5}">
  <dimension ref="A1:O6"/>
  <sheetViews>
    <sheetView workbookViewId="0">
      <selection activeCell="B17" sqref="B17"/>
    </sheetView>
  </sheetViews>
  <sheetFormatPr defaultRowHeight="15" x14ac:dyDescent="0.25"/>
  <cols>
    <col min="1" max="1" width="89.140625" bestFit="1" customWidth="1"/>
    <col min="2" max="2" width="24.85546875" bestFit="1" customWidth="1"/>
    <col min="3" max="3" width="11.28515625" style="8" customWidth="1"/>
  </cols>
  <sheetData>
    <row r="1" spans="1:15" x14ac:dyDescent="0.25">
      <c r="A1" s="14" t="s">
        <v>78</v>
      </c>
      <c r="B1" s="14"/>
      <c r="C1" s="14"/>
    </row>
    <row r="2" spans="1:15" x14ac:dyDescent="0.25">
      <c r="A2" s="10" t="s">
        <v>28</v>
      </c>
      <c r="B2" s="10" t="s">
        <v>35</v>
      </c>
      <c r="C2" s="10" t="s">
        <v>29</v>
      </c>
      <c r="G2" s="15" t="s">
        <v>44</v>
      </c>
      <c r="H2" s="16"/>
      <c r="I2" s="16"/>
      <c r="J2" s="16"/>
      <c r="K2" s="16"/>
      <c r="L2" s="16"/>
      <c r="M2" s="16"/>
      <c r="N2" s="16"/>
      <c r="O2" s="17"/>
    </row>
    <row r="3" spans="1:15" x14ac:dyDescent="0.25">
      <c r="A3" s="11" t="s">
        <v>74</v>
      </c>
      <c r="B3" s="11"/>
      <c r="C3" s="12">
        <v>16</v>
      </c>
    </row>
    <row r="4" spans="1:15" x14ac:dyDescent="0.25">
      <c r="A4" s="11" t="s">
        <v>75</v>
      </c>
      <c r="B4" s="11" t="s">
        <v>76</v>
      </c>
      <c r="C4" s="12">
        <v>80</v>
      </c>
    </row>
    <row r="5" spans="1:15" x14ac:dyDescent="0.25">
      <c r="A5" s="11" t="s">
        <v>77</v>
      </c>
      <c r="B5" s="11" t="s">
        <v>82</v>
      </c>
      <c r="C5" s="12">
        <v>24</v>
      </c>
    </row>
    <row r="6" spans="1:15" x14ac:dyDescent="0.25">
      <c r="C6" s="9">
        <f>SUM(C3:C5)</f>
        <v>120</v>
      </c>
    </row>
  </sheetData>
  <mergeCells count="2">
    <mergeCell ref="A1:C1"/>
    <mergeCell ref="G2:O2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DECCF-F7A4-43CE-A6C4-80776E3E5565}">
  <dimension ref="A1:O5"/>
  <sheetViews>
    <sheetView workbookViewId="0">
      <selection activeCell="A18" sqref="A18"/>
    </sheetView>
  </sheetViews>
  <sheetFormatPr defaultRowHeight="15" x14ac:dyDescent="0.25"/>
  <cols>
    <col min="1" max="1" width="69" bestFit="1" customWidth="1"/>
    <col min="2" max="2" width="24.85546875" bestFit="1" customWidth="1"/>
    <col min="3" max="3" width="11.28515625" style="8" customWidth="1"/>
  </cols>
  <sheetData>
    <row r="1" spans="1:15" x14ac:dyDescent="0.25">
      <c r="A1" s="14" t="s">
        <v>78</v>
      </c>
      <c r="B1" s="14"/>
      <c r="C1" s="14"/>
    </row>
    <row r="2" spans="1:15" x14ac:dyDescent="0.25">
      <c r="A2" s="10" t="s">
        <v>28</v>
      </c>
      <c r="B2" s="10" t="s">
        <v>35</v>
      </c>
      <c r="C2" s="10" t="s">
        <v>29</v>
      </c>
      <c r="G2" s="15" t="s">
        <v>44</v>
      </c>
      <c r="H2" s="16"/>
      <c r="I2" s="16"/>
      <c r="J2" s="16"/>
      <c r="K2" s="16"/>
      <c r="L2" s="16"/>
      <c r="M2" s="16"/>
      <c r="N2" s="16"/>
      <c r="O2" s="17"/>
    </row>
    <row r="3" spans="1:15" x14ac:dyDescent="0.25">
      <c r="A3" s="11" t="s">
        <v>80</v>
      </c>
      <c r="B3" s="11" t="s">
        <v>76</v>
      </c>
      <c r="C3" s="12">
        <v>80</v>
      </c>
    </row>
    <row r="4" spans="1:15" x14ac:dyDescent="0.25">
      <c r="A4" s="11" t="s">
        <v>81</v>
      </c>
      <c r="B4" s="11" t="s">
        <v>82</v>
      </c>
      <c r="C4" s="12">
        <v>120</v>
      </c>
    </row>
    <row r="5" spans="1:15" x14ac:dyDescent="0.25">
      <c r="C5" s="9">
        <f>SUM(C3:C4)</f>
        <v>200</v>
      </c>
    </row>
  </sheetData>
  <mergeCells count="2">
    <mergeCell ref="A1:C1"/>
    <mergeCell ref="G2:O2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A90AB-EBB2-4453-82CC-18A2F6913633}">
  <dimension ref="A1:O39"/>
  <sheetViews>
    <sheetView topLeftCell="A15" workbookViewId="0">
      <selection activeCell="D33" sqref="D33"/>
    </sheetView>
  </sheetViews>
  <sheetFormatPr defaultRowHeight="15" x14ac:dyDescent="0.25"/>
  <cols>
    <col min="1" max="1" width="70.85546875" style="3" bestFit="1" customWidth="1"/>
    <col min="2" max="2" width="12.140625" style="6" bestFit="1" customWidth="1"/>
    <col min="3" max="3" width="11.28515625" style="6" customWidth="1"/>
    <col min="4" max="4" width="9.140625" style="3"/>
  </cols>
  <sheetData>
    <row r="1" spans="1:15" x14ac:dyDescent="0.25">
      <c r="A1" s="24" t="s">
        <v>78</v>
      </c>
      <c r="B1" s="24"/>
      <c r="C1" s="24"/>
      <c r="D1" s="25"/>
      <c r="E1" s="23"/>
    </row>
    <row r="2" spans="1:15" x14ac:dyDescent="0.25">
      <c r="A2" s="26" t="s">
        <v>28</v>
      </c>
      <c r="B2" s="26" t="s">
        <v>35</v>
      </c>
      <c r="C2" s="26" t="s">
        <v>29</v>
      </c>
      <c r="D2" s="25"/>
      <c r="E2" s="23"/>
      <c r="G2" s="15" t="s">
        <v>44</v>
      </c>
      <c r="H2" s="16"/>
      <c r="I2" s="16"/>
      <c r="J2" s="16"/>
      <c r="K2" s="16"/>
      <c r="L2" s="16"/>
      <c r="M2" s="16"/>
      <c r="N2" s="16"/>
      <c r="O2" s="17"/>
    </row>
    <row r="3" spans="1:15" x14ac:dyDescent="0.25">
      <c r="A3" s="27" t="s">
        <v>88</v>
      </c>
      <c r="B3" s="31"/>
      <c r="C3" s="28">
        <f>SUM(C4:C9)</f>
        <v>120</v>
      </c>
      <c r="D3" s="25"/>
      <c r="E3" s="23"/>
    </row>
    <row r="4" spans="1:15" ht="15.75" customHeight="1" x14ac:dyDescent="0.25">
      <c r="A4" s="29" t="s">
        <v>95</v>
      </c>
      <c r="B4" s="30"/>
      <c r="C4" s="30">
        <v>16</v>
      </c>
      <c r="D4" s="25"/>
      <c r="E4" s="23"/>
    </row>
    <row r="5" spans="1:15" x14ac:dyDescent="0.25">
      <c r="A5" s="29" t="s">
        <v>100</v>
      </c>
      <c r="B5" s="30"/>
      <c r="C5" s="30">
        <v>24</v>
      </c>
      <c r="D5" s="25"/>
      <c r="E5" s="23"/>
    </row>
    <row r="6" spans="1:15" x14ac:dyDescent="0.25">
      <c r="A6" s="29" t="s">
        <v>99</v>
      </c>
      <c r="B6" s="30"/>
      <c r="C6" s="30">
        <v>8</v>
      </c>
      <c r="D6" s="25"/>
      <c r="E6" s="23"/>
    </row>
    <row r="7" spans="1:15" x14ac:dyDescent="0.25">
      <c r="A7" s="29" t="s">
        <v>96</v>
      </c>
      <c r="B7" s="30"/>
      <c r="C7" s="30">
        <v>24</v>
      </c>
      <c r="D7" s="25"/>
      <c r="E7" s="23"/>
    </row>
    <row r="8" spans="1:15" x14ac:dyDescent="0.25">
      <c r="A8" s="29" t="s">
        <v>97</v>
      </c>
      <c r="B8" s="30"/>
      <c r="C8" s="30">
        <v>24</v>
      </c>
      <c r="D8" s="25"/>
      <c r="E8" s="23"/>
    </row>
    <row r="9" spans="1:15" x14ac:dyDescent="0.25">
      <c r="A9" s="29" t="s">
        <v>98</v>
      </c>
      <c r="B9" s="30"/>
      <c r="C9" s="30">
        <v>24</v>
      </c>
      <c r="D9" s="25"/>
      <c r="E9" s="23"/>
    </row>
    <row r="10" spans="1:15" x14ac:dyDescent="0.25">
      <c r="A10" s="25"/>
      <c r="B10" s="31"/>
      <c r="C10" s="31"/>
      <c r="D10" s="25"/>
      <c r="E10" s="23"/>
    </row>
    <row r="11" spans="1:15" x14ac:dyDescent="0.25">
      <c r="A11" s="27" t="s">
        <v>89</v>
      </c>
      <c r="B11" s="31"/>
      <c r="C11" s="28">
        <f>SUM(C12:C14)</f>
        <v>166</v>
      </c>
      <c r="D11" s="25"/>
      <c r="E11" s="23"/>
    </row>
    <row r="12" spans="1:15" ht="25.5" x14ac:dyDescent="0.25">
      <c r="A12" s="32" t="s">
        <v>101</v>
      </c>
      <c r="B12" s="31" t="s">
        <v>36</v>
      </c>
      <c r="C12" s="31">
        <v>60</v>
      </c>
      <c r="D12" s="25"/>
      <c r="E12" s="23"/>
    </row>
    <row r="13" spans="1:15" ht="25.5" x14ac:dyDescent="0.25">
      <c r="A13" s="32" t="s">
        <v>103</v>
      </c>
      <c r="B13" s="31" t="s">
        <v>104</v>
      </c>
      <c r="C13" s="31">
        <v>90</v>
      </c>
      <c r="D13" s="25"/>
      <c r="E13" s="23"/>
    </row>
    <row r="14" spans="1:15" ht="25.5" x14ac:dyDescent="0.25">
      <c r="A14" s="32" t="s">
        <v>102</v>
      </c>
      <c r="B14" s="31" t="s">
        <v>105</v>
      </c>
      <c r="C14" s="31">
        <v>16</v>
      </c>
      <c r="D14" s="25"/>
      <c r="E14" s="23"/>
    </row>
    <row r="15" spans="1:15" x14ac:dyDescent="0.25">
      <c r="A15" s="25"/>
      <c r="B15" s="31"/>
      <c r="C15" s="31"/>
      <c r="D15" s="25"/>
      <c r="E15" s="23"/>
    </row>
    <row r="16" spans="1:15" ht="23.25" customHeight="1" x14ac:dyDescent="0.25">
      <c r="A16" s="27" t="s">
        <v>90</v>
      </c>
      <c r="B16" s="31"/>
      <c r="C16" s="28">
        <f>SUM(C17:C19)</f>
        <v>122</v>
      </c>
      <c r="D16" s="25"/>
      <c r="E16" s="23"/>
    </row>
    <row r="17" spans="1:6" x14ac:dyDescent="0.25">
      <c r="A17" s="22" t="s">
        <v>106</v>
      </c>
      <c r="B17" s="31" t="s">
        <v>105</v>
      </c>
      <c r="C17" s="31">
        <v>16</v>
      </c>
      <c r="D17" s="25"/>
      <c r="E17" s="23"/>
    </row>
    <row r="18" spans="1:6" ht="25.5" x14ac:dyDescent="0.25">
      <c r="A18" s="32" t="s">
        <v>107</v>
      </c>
      <c r="B18" s="31" t="s">
        <v>104</v>
      </c>
      <c r="C18" s="31">
        <v>90</v>
      </c>
      <c r="D18" s="25"/>
      <c r="E18" s="23"/>
    </row>
    <row r="19" spans="1:6" ht="25.5" x14ac:dyDescent="0.25">
      <c r="A19" s="32" t="s">
        <v>102</v>
      </c>
      <c r="B19" s="31" t="s">
        <v>105</v>
      </c>
      <c r="C19" s="31">
        <v>16</v>
      </c>
      <c r="D19" s="25"/>
      <c r="E19" s="23"/>
    </row>
    <row r="20" spans="1:6" x14ac:dyDescent="0.25">
      <c r="A20" s="25"/>
      <c r="B20" s="31"/>
      <c r="C20" s="31"/>
      <c r="D20" s="25"/>
      <c r="E20" s="23"/>
    </row>
    <row r="21" spans="1:6" x14ac:dyDescent="0.25">
      <c r="A21" s="27" t="s">
        <v>108</v>
      </c>
      <c r="C21" s="5">
        <f>SUM(C22:C24)</f>
        <v>104</v>
      </c>
    </row>
    <row r="22" spans="1:6" x14ac:dyDescent="0.25">
      <c r="A22" s="22" t="s">
        <v>112</v>
      </c>
      <c r="B22" s="31" t="s">
        <v>105</v>
      </c>
      <c r="C22" s="31">
        <v>16</v>
      </c>
    </row>
    <row r="23" spans="1:6" ht="25.5" x14ac:dyDescent="0.25">
      <c r="A23" s="32" t="s">
        <v>109</v>
      </c>
      <c r="B23" s="31" t="s">
        <v>104</v>
      </c>
      <c r="C23" s="31">
        <v>80</v>
      </c>
      <c r="F23" s="33"/>
    </row>
    <row r="24" spans="1:6" ht="25.5" x14ac:dyDescent="0.25">
      <c r="A24" s="32" t="s">
        <v>102</v>
      </c>
      <c r="B24" s="31" t="s">
        <v>105</v>
      </c>
      <c r="C24" s="31">
        <v>8</v>
      </c>
    </row>
    <row r="26" spans="1:6" x14ac:dyDescent="0.25">
      <c r="A26" s="27" t="s">
        <v>110</v>
      </c>
      <c r="C26" s="5">
        <f>SUM(C27:C29)</f>
        <v>104</v>
      </c>
    </row>
    <row r="27" spans="1:6" x14ac:dyDescent="0.25">
      <c r="A27" s="22" t="s">
        <v>113</v>
      </c>
      <c r="B27" s="31" t="s">
        <v>105</v>
      </c>
      <c r="C27" s="31">
        <v>16</v>
      </c>
    </row>
    <row r="28" spans="1:6" ht="25.5" x14ac:dyDescent="0.25">
      <c r="A28" s="32" t="s">
        <v>111</v>
      </c>
      <c r="B28" s="31" t="s">
        <v>104</v>
      </c>
      <c r="C28" s="31">
        <v>80</v>
      </c>
    </row>
    <row r="29" spans="1:6" ht="25.5" x14ac:dyDescent="0.25">
      <c r="A29" s="32" t="s">
        <v>102</v>
      </c>
      <c r="B29" s="31" t="s">
        <v>105</v>
      </c>
      <c r="C29" s="31">
        <v>8</v>
      </c>
    </row>
    <row r="31" spans="1:6" x14ac:dyDescent="0.25">
      <c r="A31" s="2" t="s">
        <v>92</v>
      </c>
      <c r="C31" s="5">
        <f>SUM(C32:C34)</f>
        <v>128</v>
      </c>
    </row>
    <row r="32" spans="1:6" x14ac:dyDescent="0.25">
      <c r="A32" s="22" t="s">
        <v>114</v>
      </c>
      <c r="B32" s="31" t="s">
        <v>105</v>
      </c>
      <c r="C32" s="31">
        <v>40</v>
      </c>
    </row>
    <row r="33" spans="1:3" x14ac:dyDescent="0.25">
      <c r="A33" s="32" t="s">
        <v>115</v>
      </c>
      <c r="B33" s="31" t="s">
        <v>104</v>
      </c>
      <c r="C33" s="31">
        <v>80</v>
      </c>
    </row>
    <row r="34" spans="1:3" ht="25.5" x14ac:dyDescent="0.25">
      <c r="A34" s="32" t="s">
        <v>102</v>
      </c>
      <c r="B34" s="31" t="s">
        <v>105</v>
      </c>
      <c r="C34" s="31">
        <v>8</v>
      </c>
    </row>
    <row r="36" spans="1:3" x14ac:dyDescent="0.25">
      <c r="A36" s="2" t="s">
        <v>116</v>
      </c>
      <c r="C36" s="5">
        <f>SUM(C37:C39)</f>
        <v>128</v>
      </c>
    </row>
    <row r="37" spans="1:3" x14ac:dyDescent="0.25">
      <c r="A37" s="22" t="s">
        <v>117</v>
      </c>
      <c r="B37" s="31" t="s">
        <v>105</v>
      </c>
      <c r="C37" s="31">
        <v>40</v>
      </c>
    </row>
    <row r="38" spans="1:3" x14ac:dyDescent="0.25">
      <c r="A38" s="32" t="s">
        <v>115</v>
      </c>
      <c r="B38" s="31" t="s">
        <v>104</v>
      </c>
      <c r="C38" s="31">
        <v>80</v>
      </c>
    </row>
    <row r="39" spans="1:3" ht="25.5" x14ac:dyDescent="0.25">
      <c r="A39" s="32" t="s">
        <v>102</v>
      </c>
      <c r="B39" s="31" t="s">
        <v>105</v>
      </c>
      <c r="C39" s="31">
        <v>8</v>
      </c>
    </row>
  </sheetData>
  <mergeCells count="2">
    <mergeCell ref="A1:C1"/>
    <mergeCell ref="G2:O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Geral</vt:lpstr>
      <vt:lpstr>ESTM1</vt:lpstr>
      <vt:lpstr>ESTM2</vt:lpstr>
      <vt:lpstr>ESTM3</vt:lpstr>
      <vt:lpstr>ESTM4</vt:lpstr>
      <vt:lpstr>ESTM5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Gabriel</dc:creator>
  <cp:lastModifiedBy>Marcelo Gabriel</cp:lastModifiedBy>
  <dcterms:created xsi:type="dcterms:W3CDTF">2024-11-30T20:19:11Z</dcterms:created>
  <dcterms:modified xsi:type="dcterms:W3CDTF">2024-12-01T00:18:22Z</dcterms:modified>
</cp:coreProperties>
</file>